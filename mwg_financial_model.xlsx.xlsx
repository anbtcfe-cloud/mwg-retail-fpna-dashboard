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filterPrivacy="1"/>
  <xr:revisionPtr revIDLastSave="0" documentId="13_ncr:1_{105298EA-53FD-487B-A7CB-0155E0A6E637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fact_financials" sheetId="1" r:id="rId1"/>
    <sheet name="fact_business_plan" sheetId="2" r:id="rId2"/>
    <sheet name="dim_date" sheetId="3" r:id="rId3"/>
    <sheet name="dim_metric" sheetId="4" r:id="rId4"/>
    <sheet name="source_log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2" l="1"/>
  <c r="F2" i="2"/>
  <c r="H2" i="2" s="1"/>
  <c r="F3" i="2"/>
  <c r="H3" i="2" s="1"/>
  <c r="E2" i="2"/>
  <c r="G3" i="2"/>
  <c r="D3" i="2"/>
  <c r="D2" i="2"/>
</calcChain>
</file>

<file path=xl/sharedStrings.xml><?xml version="1.0" encoding="utf-8"?>
<sst xmlns="http://schemas.openxmlformats.org/spreadsheetml/2006/main" count="156" uniqueCount="88">
  <si>
    <t>year</t>
  </si>
  <si>
    <t>period</t>
  </si>
  <si>
    <t>revenue</t>
  </si>
  <si>
    <t>gross_profit</t>
  </si>
  <si>
    <t>selling_expense</t>
  </si>
  <si>
    <t>admin_expense</t>
  </si>
  <si>
    <t>operating_profit</t>
  </si>
  <si>
    <t>profit_before_tax</t>
  </si>
  <si>
    <t>profit_after_tax</t>
  </si>
  <si>
    <t>inventory</t>
  </si>
  <si>
    <t>receivables</t>
  </si>
  <si>
    <t>payables</t>
  </si>
  <si>
    <t>operating_cash_flow</t>
  </si>
  <si>
    <t>source_file</t>
  </si>
  <si>
    <t>target_revenue</t>
  </si>
  <si>
    <t>target_profit_after_tax</t>
  </si>
  <si>
    <t>target_notes</t>
  </si>
  <si>
    <t>period_type</t>
  </si>
  <si>
    <t>Actual</t>
  </si>
  <si>
    <t>Plan</t>
  </si>
  <si>
    <t>metric_name</t>
  </si>
  <si>
    <t>vietnamese_name</t>
  </si>
  <si>
    <t>unit</t>
  </si>
  <si>
    <t>source_statement</t>
  </si>
  <si>
    <t>Doanh thu thuần</t>
  </si>
  <si>
    <t>VND bn</t>
  </si>
  <si>
    <t>Income Statement</t>
  </si>
  <si>
    <t>Lợi nhuận gộp</t>
  </si>
  <si>
    <t>Chi phí bán hàng</t>
  </si>
  <si>
    <t>Chi phí QLDN</t>
  </si>
  <si>
    <t>Lợi nhuận thuần từ HĐKD</t>
  </si>
  <si>
    <t>Lợi nhuận trước thuế</t>
  </si>
  <si>
    <t>Lợi nhuận sau thuế</t>
  </si>
  <si>
    <t>Hàng tồn kho</t>
  </si>
  <si>
    <t>Balance Sheet</t>
  </si>
  <si>
    <t>Phải thu</t>
  </si>
  <si>
    <t>Phải trả</t>
  </si>
  <si>
    <t>Lưu chuyển tiền thuần từ HĐKD</t>
  </si>
  <si>
    <t>Cash Flow Statement</t>
  </si>
  <si>
    <t>file_name</t>
  </si>
  <si>
    <t>report_type</t>
  </si>
  <si>
    <t>folder_path</t>
  </si>
  <si>
    <t>used_for</t>
  </si>
  <si>
    <t>notes</t>
  </si>
  <si>
    <t>mwg_consolidated_fs_2021_audited.pdf</t>
  </si>
  <si>
    <t>mwg_consolidated_fs_2022_audited.pdf</t>
  </si>
  <si>
    <t>mwg_consolidated_fs_2023_audited.pdf</t>
  </si>
  <si>
    <t>mwg_consolidated_fs_2024_audited.pdf</t>
  </si>
  <si>
    <t>mwg_consolidated_fs_2025_audited.pdf</t>
  </si>
  <si>
    <t>Unit: VND bn (converted from original VND figures by dividing by 1,000,000,000).</t>
  </si>
  <si>
    <t>Expense columns are stored as positive magnitudes for dashboard ratios.</t>
  </si>
  <si>
    <t>receivables = current receivables; payables = short-term trade payables.</t>
  </si>
  <si>
    <t>source_file shows the audited consolidated financial statement used for each row.</t>
  </si>
  <si>
    <t>Data Notes</t>
  </si>
  <si>
    <t>Board-approved 2025 plan; unit: VND bn</t>
  </si>
  <si>
    <t>mwg_business_plan_2025.pdf</t>
  </si>
  <si>
    <t>Board-approved 2026 plan; unit: VND bn</t>
  </si>
  <si>
    <t>mwg_business_plan_2026.pdf</t>
  </si>
  <si>
    <t>target_net_margin</t>
  </si>
  <si>
    <t>actual_revenue</t>
  </si>
  <si>
    <t>actual_profit_after_tax</t>
  </si>
  <si>
    <t>revenue_achievement</t>
  </si>
  <si>
    <t>pat_achievement</t>
  </si>
  <si>
    <t>Financial Statement</t>
  </si>
  <si>
    <t>data/raw/financial_statements/2021/</t>
  </si>
  <si>
    <t>Financial data extraction</t>
  </si>
  <si>
    <t>BCTC hợp nhất kiểm toán; values converted from VND to VND bn</t>
  </si>
  <si>
    <t>data/raw/financial_statements/2022/</t>
  </si>
  <si>
    <t>data/raw/financial_statements/2023/</t>
  </si>
  <si>
    <t>data/raw/financial_statements/2024/</t>
  </si>
  <si>
    <t>data/raw/financial_statements/2025/</t>
  </si>
  <si>
    <t>Business Plan / Board Resolution</t>
  </si>
  <si>
    <t>data/raw/business_plan/2025/</t>
  </si>
  <si>
    <t>Target revenue and target PAT extraction</t>
  </si>
  <si>
    <t>Target revenue 150,000 VND bn; target PAT 4,850 VND bn; source table on page 3 of board resolution</t>
  </si>
  <si>
    <t>mwg_agm_documents_2025.pdf</t>
  </si>
  <si>
    <t>AGM Documents</t>
  </si>
  <si>
    <t>Supporting context</t>
  </si>
  <si>
    <t>AGM 2025 documentation / agenda; not the primary source for targets</t>
  </si>
  <si>
    <t>mwg_agm_resolution_2025.pdf</t>
  </si>
  <si>
    <t>AGM Resolution</t>
  </si>
  <si>
    <t>AGM resolution confirming shareholder approval context</t>
  </si>
  <si>
    <t>data/raw/business_plan/2026/</t>
  </si>
  <si>
    <t>Target revenue 185,000 VND bn; target PAT 9,200 VND bn; source table in board resolution</t>
  </si>
  <si>
    <t>mwg_agm_documents_2026.pdf</t>
  </si>
  <si>
    <t>AGM 2026 agenda includes approval of 2026 business plan and strategic directions</t>
  </si>
  <si>
    <t>mwg_agm_resolution_2026.pdf</t>
  </si>
  <si>
    <t>AGM 2026 resolution / meeting minutes context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</si>
</sst>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#,##0;[Red]\(#,##0\);\-"/>
    <numFmt numFmtId="169" formatCode="0.0%"/>
    <numFmt numFmtId="170" formatCode="#,##0.0;[Red]\(#,##0.0\);\-"/>
  </numFmts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sz val="11"/>
      <color rgb="FF0000FF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/>
    <xf numFmtId="0" fontId="0" fillId="2" borderId="0" xfId="0" applyFill="1"/>
    <xf numFmtId="2" fontId="4" fillId="3" borderId="1" xfId="0" applyNumberFormat="1" applyFont="1" applyFill="1" applyBorder="1"/>
    <xf numFmtId="2" fontId="4" fillId="3" borderId="2" xfId="0" applyNumberFormat="1" applyFont="1" applyFill="1" applyBorder="1" applyAlignment="1">
      <alignment wrapText="1"/>
    </xf>
    <xf numFmtId="2" fontId="4" fillId="2" borderId="1" xfId="0" applyNumberFormat="1" applyFont="1" applyFill="1" applyBorder="1"/>
    <xf numFmtId="2" fontId="4" fillId="2" borderId="2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7" fillId="4" borderId="0" xfId="0" applyNumberFormat="1" applyFont="1" applyFill="1" applyBorder="1" applyAlignment="1">
      <alignment horizontal="center" vertical="center" wrapText="1"/>
    </xf>
    <xf numFmtId="1" fontId="5" fillId="0" borderId="0" xfId="0" applyNumberFormat="1" applyFont="1" applyFill="1" applyBorder="1" applyAlignment="1">
      <alignment wrapText="1"/>
    </xf>
    <xf numFmtId="168" fontId="5" fillId="0" borderId="0" xfId="0" applyNumberFormat="1" applyFont="1" applyFill="1" applyBorder="1" applyAlignment="1">
      <alignment wrapText="1"/>
    </xf>
    <xf numFmtId="169" fontId="6" fillId="0" borderId="0" xfId="0" applyNumberFormat="1" applyFont="1" applyFill="1" applyBorder="1" applyAlignment="1">
      <alignment wrapText="1"/>
    </xf>
    <xf numFmtId="170" fontId="6" fillId="0" borderId="0" xfId="0" applyNumberFormat="1" applyFont="1" applyFill="1" applyBorder="1" applyAlignment="1">
      <alignment wrapText="1"/>
    </xf>
    <xf numFmtId="0" fontId="5" fillId="0" borderId="0" xfId="0" applyNumberFormat="1" applyFont="1" applyFill="1" applyBorder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NumberFormat="1" applyFont="1" applyFill="1" applyBorder="1" applyAlignment="1">
      <alignment horizontal="center" wrapText="1"/>
    </xf>
    <xf numFmtId="0" fontId="8" fillId="0" borderId="0" xfId="0" applyNumberFormat="1" applyFont="1" applyFill="1" applyBorder="1" applyAlignment="1">
      <alignment horizontal="center" wrapText="1"/>
    </xf>
    <xf numFmtId="0" fontId="1" fillId="0" borderId="0" xfId="0" applyFont="1" applyAlignment="1">
      <alignment horizontal="left"/>
    </xf>
    <xf numFmtId="0" fontId="1" fillId="0" borderId="0" xfId="0" applyNumberFormat="1" applyFont="1" applyFill="1" applyBorder="1" applyAlignment="1">
      <alignment horizontal="left" wrapText="1"/>
    </xf>
    <xf numFmtId="0" fontId="8" fillId="0" borderId="0" xfId="0" applyNumberFormat="1" applyFont="1" applyFill="1" applyBorder="1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2">
    <dxf>
      <numFmt numFmtId="170" formatCode="#,##0.0;[Red]\(#,##0.0\);\-"/>
    </dxf>
    <dxf>
      <numFmt numFmtId="170" formatCode="#,##0.0;[Red]\(#,##0.0\);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7BC1AC-E7F3-4F09-8081-146EBFFB36C8}" name="BusinessPlanTable" displayName="BusinessPlanTable" ref="A1:J3">
  <tableColumns count="10">
    <tableColumn id="1" xr3:uid="{4B62BC71-2E83-46E9-A933-9202AA896916}" name="year"/>
    <tableColumn id="2" xr3:uid="{C609F647-B7E8-4EAD-A5FD-5160C83472DA}" name="target_revenue"/>
    <tableColumn id="3" xr3:uid="{0FBB4823-B64F-4EFC-8858-FCFA590E4C37}" name="target_profit_after_tax"/>
    <tableColumn id="4" xr3:uid="{4917AABC-765E-48F5-B271-CFB6B16DEF07}" name="target_net_margin">
      <calculatedColumnFormula>C2/B2</calculatedColumnFormula>
    </tableColumn>
    <tableColumn id="5" xr3:uid="{FF366824-3C87-41B0-A129-1C356F66F9E4}" name="actual_revenue" dataDxfId="1">
      <calculatedColumnFormula>IF(COUNTIF(fact_financials!$A:$A,A2)=0,"",SUMIF(fact_financials!$A:$A,A2,fact_financials!$C:$C))</calculatedColumnFormula>
    </tableColumn>
    <tableColumn id="6" xr3:uid="{78D0F987-8EC3-486A-AC65-03A11C5676FE}" name="actual_profit_after_tax" dataDxfId="0">
      <calculatedColumnFormula>IF(COUNTIF(fact_financials!$A:$A,A2)=0,"",SUMIF(fact_financials!$A:$A,A2,fact_financials!$I:$I))</calculatedColumnFormula>
    </tableColumn>
    <tableColumn id="7" xr3:uid="{4FD91918-D2FF-48EA-A888-DCADCDEFCD48}" name="revenue_achievement">
      <calculatedColumnFormula>IF(E2="","",E2/B2)</calculatedColumnFormula>
    </tableColumn>
    <tableColumn id="8" xr3:uid="{0E8D3DB5-3C37-4A9B-84EC-2C3FE245D412}" name="pat_achievement">
      <calculatedColumnFormula>IF(F2="","",F2/C2)</calculatedColumnFormula>
    </tableColumn>
    <tableColumn id="9" xr3:uid="{E44F18D0-B142-4872-B553-F3A7C95A5171}" name="target_notes"/>
    <tableColumn id="10" xr3:uid="{F028F407-11D7-4234-9B5F-230E34808709}" name="source_fi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topLeftCell="I1" workbookViewId="0">
      <selection activeCell="P6" sqref="P6"/>
    </sheetView>
  </sheetViews>
  <sheetFormatPr defaultRowHeight="15" x14ac:dyDescent="0.25"/>
  <cols>
    <col min="3" max="3" width="9.5703125" bestFit="1" customWidth="1"/>
    <col min="14" max="14" width="20.140625" customWidth="1"/>
    <col min="16" max="16" width="46.5703125" customWidth="1"/>
  </cols>
  <sheetData>
    <row r="1" spans="1:16" x14ac:dyDescent="0.25">
      <c r="A1" t="s">
        <v>0</v>
      </c>
      <c r="B1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P1" s="4" t="s">
        <v>53</v>
      </c>
    </row>
    <row r="2" spans="1:16" ht="30" x14ac:dyDescent="0.25">
      <c r="A2">
        <v>2021</v>
      </c>
      <c r="B2">
        <v>2021</v>
      </c>
      <c r="C2" s="5">
        <v>122958.106</v>
      </c>
      <c r="D2" s="5">
        <v>27632.132000000001</v>
      </c>
      <c r="E2" s="5">
        <v>17914.172999999999</v>
      </c>
      <c r="F2" s="5">
        <v>3823.39</v>
      </c>
      <c r="G2" s="5">
        <v>6465.607</v>
      </c>
      <c r="H2" s="5">
        <v>6471.5839999999998</v>
      </c>
      <c r="I2" s="5">
        <v>4901.4269999999997</v>
      </c>
      <c r="J2" s="5">
        <v>29167.232</v>
      </c>
      <c r="K2" s="5">
        <v>3162.1219999999998</v>
      </c>
      <c r="L2" s="5">
        <v>12179.775</v>
      </c>
      <c r="M2" s="5">
        <v>171.39</v>
      </c>
      <c r="N2" s="6" t="s">
        <v>44</v>
      </c>
      <c r="P2" s="9" t="s">
        <v>49</v>
      </c>
    </row>
    <row r="3" spans="1:16" ht="30" x14ac:dyDescent="0.25">
      <c r="A3">
        <v>2022</v>
      </c>
      <c r="B3">
        <v>2022</v>
      </c>
      <c r="C3" s="7">
        <v>133404.77799999999</v>
      </c>
      <c r="D3" s="7">
        <v>30862.042000000001</v>
      </c>
      <c r="E3" s="7">
        <v>22336.838</v>
      </c>
      <c r="F3" s="7">
        <v>1881.028</v>
      </c>
      <c r="G3" s="7">
        <v>6574.6940000000004</v>
      </c>
      <c r="H3" s="7">
        <v>6056.3549999999996</v>
      </c>
      <c r="I3" s="7">
        <v>4101.7139999999999</v>
      </c>
      <c r="J3" s="7">
        <v>25696.078000000001</v>
      </c>
      <c r="K3" s="7">
        <v>3000.817</v>
      </c>
      <c r="L3" s="7">
        <v>8745.8269999999993</v>
      </c>
      <c r="M3" s="7">
        <v>7976.299</v>
      </c>
      <c r="N3" s="8" t="s">
        <v>45</v>
      </c>
      <c r="P3" s="9" t="s">
        <v>50</v>
      </c>
    </row>
    <row r="4" spans="1:16" ht="30" x14ac:dyDescent="0.25">
      <c r="A4">
        <v>2023</v>
      </c>
      <c r="B4">
        <v>2023</v>
      </c>
      <c r="C4" s="5">
        <v>118279.788</v>
      </c>
      <c r="D4" s="5">
        <v>22520.613000000001</v>
      </c>
      <c r="E4" s="5">
        <v>20916.710999999999</v>
      </c>
      <c r="F4" s="5">
        <v>1167.652</v>
      </c>
      <c r="G4" s="5">
        <v>1047.068</v>
      </c>
      <c r="H4" s="5">
        <v>689.69200000000001</v>
      </c>
      <c r="I4" s="5">
        <v>167.82900000000001</v>
      </c>
      <c r="J4" s="5">
        <v>21824.236000000001</v>
      </c>
      <c r="K4" s="5">
        <v>5158.8530000000001</v>
      </c>
      <c r="L4" s="5">
        <v>7927.07</v>
      </c>
      <c r="M4" s="5">
        <v>3435.8270000000002</v>
      </c>
      <c r="N4" s="6" t="s">
        <v>46</v>
      </c>
      <c r="P4" s="9" t="s">
        <v>51</v>
      </c>
    </row>
    <row r="5" spans="1:16" ht="30" x14ac:dyDescent="0.25">
      <c r="A5">
        <v>2024</v>
      </c>
      <c r="B5">
        <v>2024</v>
      </c>
      <c r="C5" s="7">
        <v>134341.15299999999</v>
      </c>
      <c r="D5" s="7">
        <v>27499.21</v>
      </c>
      <c r="E5" s="7">
        <v>19849.838</v>
      </c>
      <c r="F5" s="7">
        <v>3565.768</v>
      </c>
      <c r="G5" s="7">
        <v>5227.0450000000001</v>
      </c>
      <c r="H5" s="7">
        <v>4825.7629999999999</v>
      </c>
      <c r="I5" s="7">
        <v>3733.288</v>
      </c>
      <c r="J5" s="7">
        <v>22244.675999999999</v>
      </c>
      <c r="K5" s="7">
        <v>8825.8960000000006</v>
      </c>
      <c r="L5" s="7">
        <v>9179.6360000000004</v>
      </c>
      <c r="M5" s="7">
        <v>8517.3330000000005</v>
      </c>
      <c r="N5" s="8" t="s">
        <v>47</v>
      </c>
      <c r="P5" s="9" t="s">
        <v>52</v>
      </c>
    </row>
    <row r="6" spans="1:16" ht="75" x14ac:dyDescent="0.25">
      <c r="A6">
        <v>2025</v>
      </c>
      <c r="B6">
        <v>2025</v>
      </c>
      <c r="C6" s="5">
        <v>155928.14600000001</v>
      </c>
      <c r="D6" s="5">
        <v>31001.877</v>
      </c>
      <c r="E6" s="5">
        <v>19330.903999999999</v>
      </c>
      <c r="F6" s="5">
        <v>4596.0749999999998</v>
      </c>
      <c r="G6" s="5">
        <v>8664.08</v>
      </c>
      <c r="H6" s="5">
        <v>8633.0679999999993</v>
      </c>
      <c r="I6" s="5">
        <v>7072.6229999999996</v>
      </c>
      <c r="J6" s="5">
        <v>27266.851999999999</v>
      </c>
      <c r="K6" s="5">
        <v>10182.835999999999</v>
      </c>
      <c r="L6" s="5">
        <v>13113.9</v>
      </c>
      <c r="M6" s="5">
        <v>6096.1409999999996</v>
      </c>
      <c r="N6" s="6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3FC97-5E96-44B9-B00A-C32A09228135}">
  <dimension ref="A1:J3"/>
  <sheetViews>
    <sheetView workbookViewId="0">
      <selection activeCell="F10" sqref="F10"/>
    </sheetView>
  </sheetViews>
  <sheetFormatPr defaultRowHeight="15" x14ac:dyDescent="0.25"/>
  <sheetData>
    <row r="1" spans="1:10" ht="45" x14ac:dyDescent="0.25">
      <c r="A1" s="10" t="s">
        <v>0</v>
      </c>
      <c r="B1" s="10" t="s">
        <v>14</v>
      </c>
      <c r="C1" s="10" t="s">
        <v>15</v>
      </c>
      <c r="D1" s="10" t="s">
        <v>58</v>
      </c>
      <c r="E1" s="10" t="s">
        <v>59</v>
      </c>
      <c r="F1" s="10" t="s">
        <v>60</v>
      </c>
      <c r="G1" s="10" t="s">
        <v>61</v>
      </c>
      <c r="H1" s="10" t="s">
        <v>62</v>
      </c>
      <c r="I1" s="10" t="s">
        <v>16</v>
      </c>
      <c r="J1" s="10" t="s">
        <v>13</v>
      </c>
    </row>
    <row r="2" spans="1:10" ht="90" x14ac:dyDescent="0.25">
      <c r="A2" s="11">
        <v>2025</v>
      </c>
      <c r="B2" s="12">
        <v>150000</v>
      </c>
      <c r="C2" s="12">
        <v>4850</v>
      </c>
      <c r="D2" s="13">
        <f>C2/B2</f>
        <v>3.2333333333333332E-2</v>
      </c>
      <c r="E2" s="14">
        <f>IF(COUNTIF(fact_financials!$A:$A,A2)=0,"",SUMIF(fact_financials!$A:$A,A2,fact_financials!$C:$C))</f>
        <v>155928.14600000001</v>
      </c>
      <c r="F2" s="14">
        <f>IF(COUNTIF(fact_financials!$A:$A,A2)=0,"",SUMIF(fact_financials!$A:$A,A2,fact_financials!$I:$I))</f>
        <v>7072.6229999999996</v>
      </c>
      <c r="G2" s="13">
        <f>IF(E2="","",E2/B2)</f>
        <v>1.0395209733333335</v>
      </c>
      <c r="H2" s="13">
        <f>IF(F2="","",F2/C2)</f>
        <v>1.4582727835051545</v>
      </c>
      <c r="I2" s="15" t="s">
        <v>54</v>
      </c>
      <c r="J2" s="15" t="s">
        <v>55</v>
      </c>
    </row>
    <row r="3" spans="1:10" ht="90" x14ac:dyDescent="0.25">
      <c r="A3" s="11">
        <v>2026</v>
      </c>
      <c r="B3" s="12">
        <v>185000</v>
      </c>
      <c r="C3" s="12">
        <v>9200</v>
      </c>
      <c r="D3" s="13">
        <f>C3/B3</f>
        <v>4.9729729729729728E-2</v>
      </c>
      <c r="E3" s="14"/>
      <c r="F3" s="14" t="str">
        <f>IF(COUNTIF(fact_financials!$A:$A,A3)=0,"",SUMIF(fact_financials!$A:$A,A3,fact_financials!$I:$I))</f>
        <v/>
      </c>
      <c r="G3" s="13" t="str">
        <f>IF(E3="","",E3/B3)</f>
        <v/>
      </c>
      <c r="H3" s="13" t="str">
        <f>IF(F3="","",F3/C3)</f>
        <v/>
      </c>
      <c r="I3" s="15" t="s">
        <v>56</v>
      </c>
      <c r="J3" s="15" t="s">
        <v>57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8F15D-D9EE-46A8-B135-26F0BA2B9300}">
  <dimension ref="A1:C7"/>
  <sheetViews>
    <sheetView workbookViewId="0">
      <selection activeCell="E15" sqref="E1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17</v>
      </c>
    </row>
    <row r="2" spans="1:3" x14ac:dyDescent="0.25">
      <c r="A2">
        <v>2021</v>
      </c>
      <c r="B2">
        <v>2021</v>
      </c>
      <c r="C2" t="s">
        <v>18</v>
      </c>
    </row>
    <row r="3" spans="1:3" x14ac:dyDescent="0.25">
      <c r="A3">
        <v>2022</v>
      </c>
      <c r="B3">
        <v>2022</v>
      </c>
      <c r="C3" t="s">
        <v>18</v>
      </c>
    </row>
    <row r="4" spans="1:3" x14ac:dyDescent="0.25">
      <c r="A4">
        <v>2023</v>
      </c>
      <c r="B4">
        <v>2023</v>
      </c>
      <c r="C4" t="s">
        <v>18</v>
      </c>
    </row>
    <row r="5" spans="1:3" x14ac:dyDescent="0.25">
      <c r="A5">
        <v>2024</v>
      </c>
      <c r="B5">
        <v>2024</v>
      </c>
      <c r="C5" t="s">
        <v>18</v>
      </c>
    </row>
    <row r="6" spans="1:3" x14ac:dyDescent="0.25">
      <c r="A6">
        <v>2025</v>
      </c>
      <c r="B6">
        <v>2025</v>
      </c>
      <c r="C6" t="s">
        <v>18</v>
      </c>
    </row>
    <row r="7" spans="1:3" x14ac:dyDescent="0.25">
      <c r="A7">
        <v>2026</v>
      </c>
      <c r="B7">
        <v>2026</v>
      </c>
      <c r="C7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0E3C1-88D8-4535-A578-4310375EC027}">
  <dimension ref="A1:E15"/>
  <sheetViews>
    <sheetView workbookViewId="0">
      <selection activeCell="D11" sqref="D11"/>
    </sheetView>
  </sheetViews>
  <sheetFormatPr defaultRowHeight="15" x14ac:dyDescent="0.25"/>
  <cols>
    <col min="1" max="4" width="15.5703125" customWidth="1"/>
  </cols>
  <sheetData>
    <row r="1" spans="1:5" ht="45" x14ac:dyDescent="0.25">
      <c r="A1" s="1" t="s">
        <v>20</v>
      </c>
      <c r="B1" s="1" t="s">
        <v>21</v>
      </c>
      <c r="C1" s="1" t="s">
        <v>22</v>
      </c>
      <c r="D1" s="1" t="s">
        <v>23</v>
      </c>
    </row>
    <row r="2" spans="1:5" ht="30" x14ac:dyDescent="0.25">
      <c r="A2" s="2" t="s">
        <v>2</v>
      </c>
      <c r="B2" s="2" t="s">
        <v>24</v>
      </c>
      <c r="C2" s="2" t="s">
        <v>25</v>
      </c>
      <c r="D2" s="2" t="s">
        <v>26</v>
      </c>
      <c r="E2" s="3"/>
    </row>
    <row r="3" spans="1:5" ht="30" x14ac:dyDescent="0.25">
      <c r="A3" s="2" t="s">
        <v>3</v>
      </c>
      <c r="B3" s="2" t="s">
        <v>27</v>
      </c>
      <c r="C3" s="2" t="s">
        <v>25</v>
      </c>
      <c r="D3" s="2" t="s">
        <v>26</v>
      </c>
      <c r="E3" s="3"/>
    </row>
    <row r="4" spans="1:5" ht="30" x14ac:dyDescent="0.25">
      <c r="A4" s="2" t="s">
        <v>4</v>
      </c>
      <c r="B4" s="2" t="s">
        <v>28</v>
      </c>
      <c r="C4" s="2" t="s">
        <v>25</v>
      </c>
      <c r="D4" s="2" t="s">
        <v>26</v>
      </c>
      <c r="E4" s="3"/>
    </row>
    <row r="5" spans="1:5" ht="30" x14ac:dyDescent="0.25">
      <c r="A5" s="2" t="s">
        <v>5</v>
      </c>
      <c r="B5" s="2" t="s">
        <v>29</v>
      </c>
      <c r="C5" s="2" t="s">
        <v>25</v>
      </c>
      <c r="D5" s="2" t="s">
        <v>26</v>
      </c>
      <c r="E5" s="3"/>
    </row>
    <row r="6" spans="1:5" ht="30" x14ac:dyDescent="0.25">
      <c r="A6" s="2" t="s">
        <v>6</v>
      </c>
      <c r="B6" s="2" t="s">
        <v>30</v>
      </c>
      <c r="C6" s="2" t="s">
        <v>25</v>
      </c>
      <c r="D6" s="2" t="s">
        <v>26</v>
      </c>
      <c r="E6" s="3"/>
    </row>
    <row r="7" spans="1:5" ht="30" x14ac:dyDescent="0.25">
      <c r="A7" s="2" t="s">
        <v>7</v>
      </c>
      <c r="B7" s="2" t="s">
        <v>31</v>
      </c>
      <c r="C7" s="2" t="s">
        <v>25</v>
      </c>
      <c r="D7" s="2" t="s">
        <v>26</v>
      </c>
      <c r="E7" s="3"/>
    </row>
    <row r="8" spans="1:5" ht="30" x14ac:dyDescent="0.25">
      <c r="A8" s="2" t="s">
        <v>8</v>
      </c>
      <c r="B8" s="2" t="s">
        <v>32</v>
      </c>
      <c r="C8" s="2" t="s">
        <v>25</v>
      </c>
      <c r="D8" s="2" t="s">
        <v>26</v>
      </c>
      <c r="E8" s="3"/>
    </row>
    <row r="9" spans="1:5" x14ac:dyDescent="0.25">
      <c r="A9" s="2" t="s">
        <v>9</v>
      </c>
      <c r="B9" s="2" t="s">
        <v>33</v>
      </c>
      <c r="C9" s="2" t="s">
        <v>25</v>
      </c>
      <c r="D9" s="2" t="s">
        <v>34</v>
      </c>
      <c r="E9" s="3"/>
    </row>
    <row r="10" spans="1:5" x14ac:dyDescent="0.25">
      <c r="A10" s="2" t="s">
        <v>10</v>
      </c>
      <c r="B10" s="2" t="s">
        <v>35</v>
      </c>
      <c r="C10" s="2" t="s">
        <v>25</v>
      </c>
      <c r="D10" s="2" t="s">
        <v>34</v>
      </c>
      <c r="E10" s="3"/>
    </row>
    <row r="11" spans="1:5" x14ac:dyDescent="0.25">
      <c r="A11" s="2" t="s">
        <v>11</v>
      </c>
      <c r="B11" s="2" t="s">
        <v>36</v>
      </c>
      <c r="C11" s="2" t="s">
        <v>25</v>
      </c>
      <c r="D11" s="2" t="s">
        <v>34</v>
      </c>
      <c r="E11" s="3"/>
    </row>
    <row r="12" spans="1:5" ht="30" x14ac:dyDescent="0.25">
      <c r="A12" s="2" t="s">
        <v>12</v>
      </c>
      <c r="B12" s="2" t="s">
        <v>37</v>
      </c>
      <c r="C12" s="2" t="s">
        <v>25</v>
      </c>
      <c r="D12" s="2" t="s">
        <v>38</v>
      </c>
      <c r="E12" s="3"/>
    </row>
    <row r="13" spans="1:5" x14ac:dyDescent="0.25">
      <c r="A13" s="3"/>
      <c r="B13" s="3"/>
      <c r="C13" s="3"/>
      <c r="D13" s="3"/>
      <c r="E13" s="3"/>
    </row>
    <row r="14" spans="1:5" x14ac:dyDescent="0.25">
      <c r="A14" s="3"/>
      <c r="B14" s="3"/>
      <c r="C14" s="3"/>
      <c r="D14" s="3"/>
      <c r="E14" s="3"/>
    </row>
    <row r="15" spans="1:5" x14ac:dyDescent="0.25">
      <c r="A15" s="3"/>
      <c r="B15" s="3"/>
      <c r="C15" s="3"/>
      <c r="D15" s="3"/>
      <c r="E15" s="3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CB5A8-7BC6-44EA-9C8B-54BBEBC9C089}">
  <dimension ref="A1:F12"/>
  <sheetViews>
    <sheetView topLeftCell="A13" workbookViewId="0">
      <selection activeCell="C5" sqref="C5"/>
    </sheetView>
  </sheetViews>
  <sheetFormatPr defaultRowHeight="15" x14ac:dyDescent="0.25"/>
  <cols>
    <col min="1" max="1" width="30" style="22" customWidth="1"/>
    <col min="3" max="3" width="19" customWidth="1"/>
    <col min="4" max="4" width="15.42578125" customWidth="1"/>
    <col min="6" max="6" width="43.28515625" customWidth="1"/>
  </cols>
  <sheetData>
    <row r="1" spans="1:6" x14ac:dyDescent="0.25">
      <c r="A1" s="19" t="s">
        <v>39</v>
      </c>
      <c r="B1" s="16" t="s">
        <v>0</v>
      </c>
      <c r="C1" s="16" t="s">
        <v>40</v>
      </c>
      <c r="D1" s="16" t="s">
        <v>41</v>
      </c>
      <c r="E1" s="16" t="s">
        <v>42</v>
      </c>
      <c r="F1" s="16" t="s">
        <v>43</v>
      </c>
    </row>
    <row r="2" spans="1:6" ht="60" x14ac:dyDescent="0.25">
      <c r="A2" s="20" t="s">
        <v>44</v>
      </c>
      <c r="B2" s="17">
        <v>2021</v>
      </c>
      <c r="C2" s="17" t="s">
        <v>63</v>
      </c>
      <c r="D2" s="17" t="s">
        <v>64</v>
      </c>
      <c r="E2" s="17" t="s">
        <v>65</v>
      </c>
      <c r="F2" s="17" t="s">
        <v>66</v>
      </c>
    </row>
    <row r="3" spans="1:6" ht="60" x14ac:dyDescent="0.25">
      <c r="A3" s="20" t="s">
        <v>45</v>
      </c>
      <c r="B3" s="17">
        <v>2022</v>
      </c>
      <c r="C3" s="17" t="s">
        <v>63</v>
      </c>
      <c r="D3" s="17" t="s">
        <v>67</v>
      </c>
      <c r="E3" s="17" t="s">
        <v>65</v>
      </c>
      <c r="F3" s="17" t="s">
        <v>66</v>
      </c>
    </row>
    <row r="4" spans="1:6" ht="60" x14ac:dyDescent="0.25">
      <c r="A4" s="20" t="s">
        <v>46</v>
      </c>
      <c r="B4" s="17">
        <v>2023</v>
      </c>
      <c r="C4" s="17" t="s">
        <v>63</v>
      </c>
      <c r="D4" s="17" t="s">
        <v>68</v>
      </c>
      <c r="E4" s="17" t="s">
        <v>65</v>
      </c>
      <c r="F4" s="17" t="s">
        <v>66</v>
      </c>
    </row>
    <row r="5" spans="1:6" ht="60" x14ac:dyDescent="0.25">
      <c r="A5" s="20" t="s">
        <v>47</v>
      </c>
      <c r="B5" s="17">
        <v>2024</v>
      </c>
      <c r="C5" s="17" t="s">
        <v>63</v>
      </c>
      <c r="D5" s="17" t="s">
        <v>69</v>
      </c>
      <c r="E5" s="17" t="s">
        <v>65</v>
      </c>
      <c r="F5" s="17" t="s">
        <v>66</v>
      </c>
    </row>
    <row r="6" spans="1:6" ht="60" x14ac:dyDescent="0.25">
      <c r="A6" s="20" t="s">
        <v>48</v>
      </c>
      <c r="B6" s="17">
        <v>2025</v>
      </c>
      <c r="C6" s="17" t="s">
        <v>63</v>
      </c>
      <c r="D6" s="17" t="s">
        <v>70</v>
      </c>
      <c r="E6" s="17" t="s">
        <v>65</v>
      </c>
      <c r="F6" s="17" t="s">
        <v>66</v>
      </c>
    </row>
    <row r="7" spans="1:6" ht="105" x14ac:dyDescent="0.25">
      <c r="A7" s="21" t="s">
        <v>55</v>
      </c>
      <c r="B7" s="18">
        <v>2025</v>
      </c>
      <c r="C7" s="18" t="s">
        <v>71</v>
      </c>
      <c r="D7" s="18" t="s">
        <v>72</v>
      </c>
      <c r="E7" s="18" t="s">
        <v>73</v>
      </c>
      <c r="F7" s="18" t="s">
        <v>74</v>
      </c>
    </row>
    <row r="8" spans="1:6" ht="45" x14ac:dyDescent="0.25">
      <c r="A8" s="21" t="s">
        <v>75</v>
      </c>
      <c r="B8" s="18">
        <v>2025</v>
      </c>
      <c r="C8" s="18" t="s">
        <v>76</v>
      </c>
      <c r="D8" s="18" t="s">
        <v>72</v>
      </c>
      <c r="E8" s="18" t="s">
        <v>77</v>
      </c>
      <c r="F8" s="18" t="s">
        <v>78</v>
      </c>
    </row>
    <row r="9" spans="1:6" ht="45" x14ac:dyDescent="0.25">
      <c r="A9" s="21" t="s">
        <v>79</v>
      </c>
      <c r="B9" s="18">
        <v>2025</v>
      </c>
      <c r="C9" s="18" t="s">
        <v>80</v>
      </c>
      <c r="D9" s="18" t="s">
        <v>72</v>
      </c>
      <c r="E9" s="18" t="s">
        <v>77</v>
      </c>
      <c r="F9" s="18" t="s">
        <v>81</v>
      </c>
    </row>
    <row r="10" spans="1:6" ht="105" x14ac:dyDescent="0.25">
      <c r="A10" s="21" t="s">
        <v>57</v>
      </c>
      <c r="B10" s="18">
        <v>2026</v>
      </c>
      <c r="C10" s="18" t="s">
        <v>71</v>
      </c>
      <c r="D10" s="18" t="s">
        <v>82</v>
      </c>
      <c r="E10" s="18" t="s">
        <v>73</v>
      </c>
      <c r="F10" s="18" t="s">
        <v>83</v>
      </c>
    </row>
    <row r="11" spans="1:6" ht="45" x14ac:dyDescent="0.25">
      <c r="A11" s="21" t="s">
        <v>84</v>
      </c>
      <c r="B11" s="18">
        <v>2026</v>
      </c>
      <c r="C11" s="18" t="s">
        <v>76</v>
      </c>
      <c r="D11" s="18" t="s">
        <v>82</v>
      </c>
      <c r="E11" s="18" t="s">
        <v>77</v>
      </c>
      <c r="F11" s="18" t="s">
        <v>85</v>
      </c>
    </row>
    <row r="12" spans="1:6" ht="45" x14ac:dyDescent="0.25">
      <c r="A12" s="21" t="s">
        <v>86</v>
      </c>
      <c r="B12" s="18">
        <v>2026</v>
      </c>
      <c r="C12" s="18" t="s">
        <v>80</v>
      </c>
      <c r="D12" s="18" t="s">
        <v>82</v>
      </c>
      <c r="E12" s="18" t="s">
        <v>77</v>
      </c>
      <c r="F12" s="18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fact_financials</vt:lpstr>
      <vt:lpstr>fact_business_plan</vt:lpstr>
      <vt:lpstr>dim_date</vt:lpstr>
      <vt:lpstr>dim_metric</vt:lpstr>
      <vt:lpstr>source_log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2026-07-07T10:08:18Z</dcterms:modified>
</cp:coreProperties>
</file>